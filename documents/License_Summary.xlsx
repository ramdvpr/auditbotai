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<sst xmlns="http://schemas.openxmlformats.org/spreadsheetml/2006/main" uniqueCount="26">
  <si>
    <t>License Type</t>
  </si>
  <si>
    <t>License Description / Name</t>
  </si>
  <si>
    <t>Purchased License</t>
  </si>
  <si>
    <t>License Unit Cost</t>
  </si>
  <si>
    <t>Purchased License Cost</t>
  </si>
  <si>
    <t>Recommended License Count</t>
  </si>
  <si>
    <t>Recommended License Cost</t>
  </si>
  <si>
    <t>Multiple Logons Count</t>
  </si>
  <si>
    <t>Multiple Logons Cost</t>
  </si>
  <si>
    <t>Net Cost</t>
  </si>
  <si>
    <t>Additional License Count</t>
  </si>
  <si>
    <t>Additional License Cost</t>
  </si>
  <si>
    <t>Unused License Count</t>
  </si>
  <si>
    <t>Unused License Cost</t>
  </si>
  <si>
    <t>AI Note</t>
  </si>
  <si>
    <t>CA</t>
  </si>
  <si>
    <t>SAP Application Developer</t>
  </si>
  <si>
    <t>Record Level</t>
  </si>
  <si>
    <t>CB</t>
  </si>
  <si>
    <t>SAP Application Professional</t>
  </si>
  <si>
    <t>CC</t>
  </si>
  <si>
    <t>SAP Application Limited Professional</t>
  </si>
  <si>
    <t>CE</t>
  </si>
  <si>
    <t>SAP Application ESS User</t>
  </si>
  <si>
    <t>Total</t>
  </si>
  <si>
    <t>Summary Level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</si>
</sst>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49" fontId="0" borderId="2" applyNumberFormat="1" applyFont="1" applyFill="0" applyBorder="1" applyAlignment="1" applyProtection="0">
      <alignment horizontal="left" vertical="bottom"/>
    </xf>
    <xf numFmtId="3" fontId="0" fillId="2" borderId="1" applyNumberFormat="1" applyFont="1" applyFill="1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3" borderId="4" applyNumberFormat="1" applyFont="1" applyFill="0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3" fontId="0" fillId="2" borderId="4" applyNumberFormat="1" applyFont="1" applyFill="1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6"/>
  <sheetViews>
    <sheetView workbookViewId="0" showGridLines="0" defaultGridColor="1"/>
  </sheetViews>
  <sheetFormatPr defaultColWidth="7.66667" defaultRowHeight="14.4" customHeight="1" outlineLevelRow="0" outlineLevelCol="0"/>
  <cols>
    <col min="1" max="1" width="11.1719" style="1" customWidth="1"/>
    <col min="2" max="2" width="30.6719" style="1" customWidth="1"/>
    <col min="3" max="3" width="16.3516" style="1" customWidth="1"/>
    <col min="4" max="4" width="14.8516" style="1" customWidth="1"/>
    <col min="5" max="5" width="20.5" style="1" customWidth="1"/>
    <col min="6" max="6" width="25.1719" style="1" customWidth="1"/>
    <col min="7" max="7" width="24.1719" style="1" customWidth="1"/>
    <col min="8" max="8" width="18.6719" style="1" customWidth="1"/>
    <col min="9" max="9" width="17.5" style="1" customWidth="1"/>
    <col min="10" max="10" width="11.6719" style="1" customWidth="1"/>
    <col min="11" max="11" width="20.8516" style="1" customWidth="1"/>
    <col min="12" max="12" width="19.8516" style="1" customWidth="1"/>
    <col min="13" max="13" width="19" style="1" customWidth="1"/>
    <col min="14" max="14" width="24.7734" style="1" customWidth="1"/>
    <col min="15" max="15" width="13.1719" style="1" customWidth="1"/>
    <col min="16" max="16384" width="7.67188" style="1" customWidth="1"/>
  </cols>
  <sheetData>
    <row r="1" ht="16" customHeight="1">
      <c r="A1" t="s" s="2">
        <v>0</v>
      </c>
      <c r="B1" t="s" s="2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4">
        <v>14</v>
      </c>
    </row>
    <row r="2" ht="16" customHeight="1">
      <c r="A2" t="s" s="2">
        <v>15</v>
      </c>
      <c r="B2" t="s" s="2">
        <v>16</v>
      </c>
      <c r="C2" s="5">
        <v>30</v>
      </c>
      <c r="D2" s="5">
        <v>5000</v>
      </c>
      <c r="E2" s="5">
        <v>150000</v>
      </c>
      <c r="F2" s="5">
        <v>4</v>
      </c>
      <c r="G2" s="5">
        <v>20000</v>
      </c>
      <c r="H2" s="5">
        <v>2</v>
      </c>
      <c r="I2" s="5">
        <v>200</v>
      </c>
      <c r="J2" s="5">
        <v>20200</v>
      </c>
      <c r="K2" s="5">
        <v>0</v>
      </c>
      <c r="L2" s="5">
        <v>0</v>
      </c>
      <c r="M2" s="5">
        <v>26</v>
      </c>
      <c r="N2" s="5">
        <v>130000</v>
      </c>
      <c r="O2" t="s" s="6">
        <v>17</v>
      </c>
    </row>
    <row r="3" ht="16" customHeight="1">
      <c r="A3" t="s" s="2">
        <v>18</v>
      </c>
      <c r="B3" t="s" s="2">
        <v>19</v>
      </c>
      <c r="C3" s="5">
        <v>300</v>
      </c>
      <c r="D3" s="5">
        <v>3500</v>
      </c>
      <c r="E3" s="5">
        <v>1050000</v>
      </c>
      <c r="F3" s="5">
        <v>2</v>
      </c>
      <c r="G3" s="5">
        <v>7000</v>
      </c>
      <c r="H3" s="5">
        <v>5</v>
      </c>
      <c r="I3" s="5">
        <v>500</v>
      </c>
      <c r="J3" s="5">
        <v>7500</v>
      </c>
      <c r="K3" s="5">
        <v>0</v>
      </c>
      <c r="L3" s="5">
        <v>0</v>
      </c>
      <c r="M3" s="5">
        <v>298</v>
      </c>
      <c r="N3" s="5">
        <v>1043000</v>
      </c>
      <c r="O3" t="s" s="6">
        <v>17</v>
      </c>
    </row>
    <row r="4" ht="16" customHeight="1">
      <c r="A4" t="s" s="2">
        <v>20</v>
      </c>
      <c r="B4" t="s" s="2">
        <v>21</v>
      </c>
      <c r="C4" s="5">
        <v>70</v>
      </c>
      <c r="D4" s="5">
        <v>2000</v>
      </c>
      <c r="E4" s="5">
        <v>140000</v>
      </c>
      <c r="F4" s="5">
        <v>25</v>
      </c>
      <c r="G4" s="5">
        <v>50000</v>
      </c>
      <c r="H4" s="5">
        <v>8</v>
      </c>
      <c r="I4" s="5">
        <v>800</v>
      </c>
      <c r="J4" s="5">
        <v>50800</v>
      </c>
      <c r="K4" s="5">
        <v>0</v>
      </c>
      <c r="L4" s="5">
        <v>0</v>
      </c>
      <c r="M4" s="5">
        <v>45</v>
      </c>
      <c r="N4" s="5">
        <v>90000</v>
      </c>
      <c r="O4" t="s" s="6">
        <v>17</v>
      </c>
    </row>
    <row r="5" ht="16" customHeight="1">
      <c r="A5" t="s" s="2">
        <v>22</v>
      </c>
      <c r="B5" t="s" s="2">
        <v>23</v>
      </c>
      <c r="C5" s="5">
        <v>250</v>
      </c>
      <c r="D5" s="5">
        <v>250</v>
      </c>
      <c r="E5" s="5">
        <v>62500</v>
      </c>
      <c r="F5" s="5">
        <v>290</v>
      </c>
      <c r="G5" s="5">
        <v>72500</v>
      </c>
      <c r="H5" s="5">
        <v>10</v>
      </c>
      <c r="I5" s="5">
        <v>1000</v>
      </c>
      <c r="J5" s="5">
        <v>73500</v>
      </c>
      <c r="K5" s="5">
        <v>40</v>
      </c>
      <c r="L5" s="5">
        <v>10000</v>
      </c>
      <c r="M5" s="5">
        <v>0</v>
      </c>
      <c r="N5" s="5">
        <v>0</v>
      </c>
      <c r="O5" t="s" s="6">
        <v>17</v>
      </c>
    </row>
    <row r="6" ht="16" customHeight="1">
      <c r="A6" t="s" s="7">
        <v>24</v>
      </c>
      <c r="B6" s="8"/>
      <c r="C6" s="9" cm="1">
        <f t="array" ref="C6">SUM(C2:C5)</f>
        <v>650</v>
      </c>
      <c r="D6" s="9" cm="1">
        <f t="array" ref="D6">SUM(D2:D5)</f>
        <v>10750</v>
      </c>
      <c r="E6" s="9" cm="1">
        <f t="array" ref="E6">SUM(E2:E5)</f>
        <v>1402500</v>
      </c>
      <c r="F6" s="9" cm="1">
        <f t="array" ref="F6">SUM(F2:F5)</f>
        <v>321</v>
      </c>
      <c r="G6" s="9" cm="1">
        <f t="array" ref="G6">SUM(G2:G5)</f>
        <v>149500</v>
      </c>
      <c r="H6" s="9" cm="1">
        <f t="array" ref="H6">SUM(H2:H5)</f>
        <v>25</v>
      </c>
      <c r="I6" s="9" cm="1">
        <f t="array" ref="I6">SUM(I2:I5)</f>
        <v>2500</v>
      </c>
      <c r="J6" s="9" cm="1">
        <f t="array" ref="J6">SUM(J2:J5)</f>
        <v>152000</v>
      </c>
      <c r="K6" s="9" cm="1">
        <f t="array" ref="K6">SUM(K2:K5)</f>
        <v>40</v>
      </c>
      <c r="L6" s="9" cm="1">
        <f t="array" ref="L6">SUM(L2:L5)</f>
        <v>10000</v>
      </c>
      <c r="M6" s="9" cm="1">
        <f t="array" ref="M6">SUM(M2:M5)</f>
        <v>369</v>
      </c>
      <c r="N6" s="9" cm="1">
        <f t="array" ref="N6">SUM(N2:N5)</f>
        <v>1263000</v>
      </c>
      <c r="O6" t="s" s="10">
        <v>25</v>
      </c>
    </row>
  </sheetData>
  <mergeCells count="1">
    <mergeCell ref="A6:B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